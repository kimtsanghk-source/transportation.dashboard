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chholdingsltd-my.sharepoint.com/personal/kimtsang_dchauriga_com/Documents/Documents/AI Transportation KPI Dashboard/"/>
    </mc:Choice>
  </mc:AlternateContent>
  <xr:revisionPtr revIDLastSave="7" documentId="13_ncr:1_{C7812C41-A0D8-4678-A7FF-CC765441959E}" xr6:coauthVersionLast="47" xr6:coauthVersionMax="47" xr10:uidLastSave="{FB8B75FC-E18B-461A-88B7-9BFC92427D31}"/>
  <bookViews>
    <workbookView xWindow="-15" yWindow="-16320" windowWidth="29040" windowHeight="15720" xr2:uid="{4821FC99-6406-4C6D-A8AD-C58625E675F3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" i="1" l="1"/>
  <c r="U3" i="1"/>
  <c r="U4" i="1"/>
  <c r="U5" i="1"/>
  <c r="U6" i="1"/>
  <c r="U7" i="1"/>
  <c r="U8" i="1"/>
  <c r="U9" i="1"/>
  <c r="U10" i="1"/>
  <c r="U11" i="1"/>
  <c r="U12" i="1"/>
  <c r="U13" i="1"/>
  <c r="U2" i="1"/>
  <c r="N13" i="1"/>
  <c r="N12" i="1"/>
  <c r="N11" i="1"/>
  <c r="N10" i="1"/>
  <c r="N9" i="1"/>
  <c r="N8" i="1"/>
</calcChain>
</file>

<file path=xl/sharedStrings.xml><?xml version="1.0" encoding="utf-8"?>
<sst xmlns="http://schemas.openxmlformats.org/spreadsheetml/2006/main" count="25" uniqueCount="25">
  <si>
    <t>月份</t>
  </si>
  <si>
    <r>
      <t>每小時配送效率</t>
    </r>
    <r>
      <rPr>
        <b/>
        <sz val="11"/>
        <color rgb="FF0070C0"/>
        <rFont val="Calibri"/>
        <family val="2"/>
      </rPr>
      <t>(</t>
    </r>
    <r>
      <rPr>
        <b/>
        <sz val="11"/>
        <color rgb="FF0070C0"/>
        <rFont val="Arial"/>
        <family val="2"/>
      </rPr>
      <t>訂單</t>
    </r>
    <r>
      <rPr>
        <b/>
        <sz val="11"/>
        <color rgb="FF0070C0"/>
        <rFont val="Calibri"/>
        <family val="2"/>
      </rPr>
      <t>)</t>
    </r>
  </si>
  <si>
    <r>
      <t>每小時配送效率</t>
    </r>
    <r>
      <rPr>
        <b/>
        <sz val="11"/>
        <color rgb="FF0070C0"/>
        <rFont val="Calibri"/>
        <family val="2"/>
      </rPr>
      <t>(</t>
    </r>
    <r>
      <rPr>
        <b/>
        <sz val="11"/>
        <color rgb="FF0070C0"/>
        <rFont val="Arial"/>
        <family val="2"/>
      </rPr>
      <t>板數</t>
    </r>
    <r>
      <rPr>
        <b/>
        <sz val="11"/>
        <color rgb="FF0070C0"/>
        <rFont val="Calibri"/>
        <family val="2"/>
      </rPr>
      <t>)</t>
    </r>
  </si>
  <si>
    <r>
      <t>每車平均每日承載</t>
    </r>
    <r>
      <rPr>
        <b/>
        <sz val="11"/>
        <color rgb="FF0070C0"/>
        <rFont val="Calibri"/>
        <family val="2"/>
      </rPr>
      <t>CBM</t>
    </r>
  </si>
  <si>
    <t>總訂單數量</t>
  </si>
  <si>
    <t>總配送板數</t>
  </si>
  <si>
    <r>
      <t>西藥</t>
    </r>
    <r>
      <rPr>
        <b/>
        <sz val="11"/>
        <color rgb="FF000000"/>
        <rFont val="Arial"/>
        <family val="2"/>
      </rPr>
      <t>訂單數量</t>
    </r>
  </si>
  <si>
    <r>
      <t>西藥</t>
    </r>
    <r>
      <rPr>
        <b/>
        <sz val="11"/>
        <color rgb="FF000000"/>
        <rFont val="Arial"/>
        <family val="2"/>
      </rPr>
      <t>配送板數</t>
    </r>
  </si>
  <si>
    <r>
      <t>腎水</t>
    </r>
    <r>
      <rPr>
        <b/>
        <sz val="11"/>
        <color rgb="FF000000"/>
        <rFont val="Arial"/>
        <family val="2"/>
      </rPr>
      <t>訂單數量</t>
    </r>
  </si>
  <si>
    <r>
      <t>腎水</t>
    </r>
    <r>
      <rPr>
        <b/>
        <sz val="11"/>
        <color rgb="FF000000"/>
        <rFont val="Arial"/>
        <family val="2"/>
      </rPr>
      <t>配送板數</t>
    </r>
  </si>
  <si>
    <r>
      <rPr>
        <b/>
        <sz val="11"/>
        <color rgb="FF000000"/>
        <rFont val="微軟正黑體"/>
        <family val="2"/>
        <charset val="136"/>
      </rPr>
      <t>總配送時間</t>
    </r>
    <r>
      <rPr>
        <b/>
        <sz val="11"/>
        <color rgb="FF000000"/>
        <rFont val="Arial"/>
        <family val="2"/>
      </rPr>
      <t>(</t>
    </r>
    <r>
      <rPr>
        <b/>
        <sz val="11"/>
        <color rgb="FF000000"/>
        <rFont val="微軟正黑體"/>
        <family val="2"/>
        <charset val="136"/>
      </rPr>
      <t>小時</t>
    </r>
    <r>
      <rPr>
        <b/>
        <sz val="11"/>
        <color rgb="FF000000"/>
        <rFont val="Arial"/>
        <family val="2"/>
      </rPr>
      <t>):</t>
    </r>
    <phoneticPr fontId="7" type="noConversion"/>
  </si>
  <si>
    <r>
      <t xml:space="preserve">KPI
</t>
    </r>
    <r>
      <rPr>
        <b/>
        <sz val="10"/>
        <color theme="1"/>
        <rFont val="Arial"/>
        <family val="2"/>
      </rPr>
      <t>(OTIF)</t>
    </r>
  </si>
  <si>
    <t>Grand Total</t>
  </si>
  <si>
    <t>Elderly Home
(ORDER)</t>
  </si>
  <si>
    <t>Home Delivery
(ORDER)</t>
  </si>
  <si>
    <t>Hospital
(ORDER)</t>
  </si>
  <si>
    <t>KA
(ORDER)</t>
  </si>
  <si>
    <t>Macau
(ORDER)</t>
  </si>
  <si>
    <t>Self Pick Up
(ORDER)</t>
  </si>
  <si>
    <t>Clinic/Dispensary/Optical Store
(ORDER)</t>
  </si>
  <si>
    <t>Delivery Drop point
(CV)</t>
  </si>
  <si>
    <t>Delivery Drop point
(Pharma)</t>
  </si>
  <si>
    <t>Delivery Drop point
(Baxter)</t>
  </si>
  <si>
    <t>Delivery Drop point
(JJM)</t>
  </si>
  <si>
    <t>Delivery Drop point
(Boston)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</si>
</sst>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Aptos Narrow"/>
      <family val="2"/>
      <charset val="136"/>
      <scheme val="minor"/>
    </font>
    <font>
      <b/>
      <sz val="11"/>
      <color rgb="FF000000"/>
      <name val="Arial"/>
      <family val="2"/>
    </font>
    <font>
      <b/>
      <sz val="11"/>
      <color rgb="FF0070C0"/>
      <name val="Calibri"/>
      <family val="2"/>
    </font>
    <font>
      <b/>
      <sz val="11"/>
      <color rgb="FF0070C0"/>
      <name val="Arial"/>
      <family val="2"/>
    </font>
    <font>
      <b/>
      <sz val="11"/>
      <color rgb="FFC65911"/>
      <name val="Arial"/>
      <family val="2"/>
    </font>
    <font>
      <b/>
      <sz val="11"/>
      <color rgb="FF7030A0"/>
      <name val="Arial"/>
      <family val="2"/>
    </font>
    <font>
      <sz val="11"/>
      <color rgb="FF000000"/>
      <name val="Calibri"/>
      <family val="2"/>
    </font>
    <font>
      <sz val="9"/>
      <name val="Aptos Narrow"/>
      <family val="2"/>
      <charset val="136"/>
      <scheme val="minor"/>
    </font>
    <font>
      <b/>
      <sz val="11"/>
      <color rgb="FF000000"/>
      <name val="微軟正黑體"/>
      <family val="2"/>
      <charset val="136"/>
    </font>
    <font>
      <b/>
      <sz val="11"/>
      <color rgb="FF000000"/>
      <name val="Arial"/>
      <family val="2"/>
      <charset val="136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Aptos Narrow"/>
      <family val="2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5" fillId="0" borderId="0" applyFont="0" applyFill="0" applyBorder="0" applyAlignment="0" applyProtection="0"/>
  </cellStyleXfs>
  <cellXfs count="1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0" fontId="11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17" fontId="6" fillId="0" borderId="1" xfId="0" applyNumberFormat="1" applyFont="1" applyBorder="1" applyAlignment="1">
      <alignment horizontal="left" vertical="center" wrapText="1"/>
    </xf>
    <xf numFmtId="10" fontId="11" fillId="3" borderId="0" xfId="0" applyNumberFormat="1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0" fillId="3" borderId="0" xfId="0" applyFill="1">
      <alignment vertical="center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0" xfId="1" applyFont="1" applyAlignment="1">
      <alignment vertical="center"/>
    </xf>
    <xf numFmtId="0" fontId="0" fillId="0" borderId="1" xfId="0" applyBorder="1">
      <alignment vertical="center"/>
    </xf>
    <xf numFmtId="0" fontId="13" fillId="5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B83A-3150-496D-BED3-657404FFAB93}">
  <dimension ref="A1:AA23"/>
  <sheetViews>
    <sheetView tabSelected="1" zoomScale="85" zoomScaleNormal="85" workbookViewId="0">
      <selection activeCell="A14" sqref="A14"/>
    </sheetView>
  </sheetViews>
  <sheetFormatPr defaultRowHeight="16.2"/>
  <cols>
    <col min="1" max="1" width="8" customWidth="1"/>
    <col min="2" max="2" width="11.44140625" customWidth="1"/>
    <col min="3" max="3" width="13.77734375" customWidth="1"/>
    <col min="4" max="4" width="14.6640625" customWidth="1"/>
    <col min="5" max="5" width="12.6640625" customWidth="1"/>
    <col min="8" max="8" width="9.88671875" bestFit="1" customWidth="1"/>
    <col min="12" max="12" width="12.21875" customWidth="1"/>
    <col min="13" max="13" width="1.77734375" style="12" customWidth="1"/>
    <col min="14" max="14" width="17.21875" customWidth="1"/>
    <col min="15" max="20" width="15.33203125" customWidth="1"/>
    <col min="21" max="21" width="12.77734375" customWidth="1"/>
    <col min="22" max="22" width="1.77734375" style="12" customWidth="1"/>
    <col min="23" max="27" width="17.5546875" customWidth="1"/>
  </cols>
  <sheetData>
    <row r="1" spans="1:27" ht="43.2">
      <c r="A1" s="1" t="s">
        <v>0</v>
      </c>
      <c r="B1" s="2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3" t="s">
        <v>7</v>
      </c>
      <c r="J1" s="4" t="s">
        <v>8</v>
      </c>
      <c r="K1" s="4" t="s">
        <v>9</v>
      </c>
      <c r="L1" s="5" t="s">
        <v>11</v>
      </c>
      <c r="M1" s="11"/>
      <c r="N1" s="13" t="s">
        <v>19</v>
      </c>
      <c r="O1" s="13" t="s">
        <v>13</v>
      </c>
      <c r="P1" s="13" t="s">
        <v>14</v>
      </c>
      <c r="Q1" s="13" t="s">
        <v>15</v>
      </c>
      <c r="R1" s="13" t="s">
        <v>16</v>
      </c>
      <c r="S1" s="13" t="s">
        <v>17</v>
      </c>
      <c r="T1" s="13" t="s">
        <v>18</v>
      </c>
      <c r="U1" s="13" t="s">
        <v>12</v>
      </c>
      <c r="V1" s="11"/>
      <c r="W1" s="18" t="s">
        <v>21</v>
      </c>
      <c r="X1" s="18" t="s">
        <v>22</v>
      </c>
      <c r="Y1" s="18" t="s">
        <v>20</v>
      </c>
      <c r="Z1" s="18" t="s">
        <v>23</v>
      </c>
      <c r="AA1" s="18" t="s">
        <v>24</v>
      </c>
    </row>
    <row r="2" spans="1:27">
      <c r="A2" s="9">
        <v>45839</v>
      </c>
      <c r="B2" s="6">
        <v>10914</v>
      </c>
      <c r="C2" s="6">
        <v>4.0999999999999996</v>
      </c>
      <c r="D2" s="6">
        <v>0.26</v>
      </c>
      <c r="E2" s="6">
        <v>7</v>
      </c>
      <c r="F2" s="6">
        <v>44252</v>
      </c>
      <c r="G2" s="6">
        <v>2810</v>
      </c>
      <c r="H2" s="6">
        <v>42482</v>
      </c>
      <c r="I2" s="6">
        <v>2268</v>
      </c>
      <c r="J2" s="6">
        <v>1770</v>
      </c>
      <c r="K2" s="6">
        <v>543</v>
      </c>
      <c r="L2" s="7">
        <v>0.99360148176211827</v>
      </c>
      <c r="M2" s="10"/>
      <c r="N2" s="14">
        <v>21435</v>
      </c>
      <c r="O2" s="14">
        <v>418</v>
      </c>
      <c r="P2" s="14">
        <v>15236</v>
      </c>
      <c r="Q2" s="14">
        <v>8839</v>
      </c>
      <c r="R2" s="14">
        <v>987</v>
      </c>
      <c r="S2" s="14">
        <v>375</v>
      </c>
      <c r="T2" s="14">
        <v>221</v>
      </c>
      <c r="U2" s="14">
        <f>SUM(N2:T2)</f>
        <v>47511</v>
      </c>
      <c r="V2" s="10"/>
      <c r="W2" s="14">
        <v>19120</v>
      </c>
      <c r="X2" s="14">
        <v>7303</v>
      </c>
      <c r="Y2" s="14">
        <v>5945</v>
      </c>
      <c r="Z2" s="14">
        <v>3068</v>
      </c>
      <c r="AA2" s="14">
        <v>692</v>
      </c>
    </row>
    <row r="3" spans="1:27">
      <c r="A3" s="9">
        <v>45870</v>
      </c>
      <c r="B3" s="6">
        <v>10074</v>
      </c>
      <c r="C3" s="6">
        <v>4.2</v>
      </c>
      <c r="D3" s="6">
        <v>0.3</v>
      </c>
      <c r="E3" s="6">
        <v>7.6</v>
      </c>
      <c r="F3" s="6">
        <v>42677</v>
      </c>
      <c r="G3" s="6">
        <v>3056</v>
      </c>
      <c r="H3" s="6">
        <v>40987</v>
      </c>
      <c r="I3" s="6">
        <v>2492</v>
      </c>
      <c r="J3" s="6">
        <v>1690</v>
      </c>
      <c r="K3" s="6">
        <v>564</v>
      </c>
      <c r="L3" s="7">
        <v>0.99309023592216294</v>
      </c>
      <c r="M3" s="10"/>
      <c r="N3" s="14">
        <v>21070</v>
      </c>
      <c r="O3" s="14">
        <v>388</v>
      </c>
      <c r="P3" s="14">
        <v>14785</v>
      </c>
      <c r="Q3" s="14">
        <v>8582</v>
      </c>
      <c r="R3" s="14">
        <v>984</v>
      </c>
      <c r="S3" s="14">
        <v>405</v>
      </c>
      <c r="T3" s="14">
        <v>242</v>
      </c>
      <c r="U3" s="14">
        <f t="shared" ref="U3:U14" si="0">SUM(N3:T3)</f>
        <v>46456</v>
      </c>
      <c r="V3" s="10"/>
      <c r="W3" s="14">
        <v>18160</v>
      </c>
      <c r="X3" s="14">
        <v>7212</v>
      </c>
      <c r="Y3" s="14">
        <v>5861</v>
      </c>
      <c r="Z3" s="14">
        <v>3084</v>
      </c>
      <c r="AA3" s="14">
        <v>688</v>
      </c>
    </row>
    <row r="4" spans="1:27">
      <c r="A4" s="9">
        <v>45901</v>
      </c>
      <c r="B4" s="6">
        <v>9848</v>
      </c>
      <c r="C4" s="6">
        <v>4.4000000000000004</v>
      </c>
      <c r="D4" s="6">
        <v>0.31</v>
      </c>
      <c r="E4" s="6">
        <v>7.7</v>
      </c>
      <c r="F4" s="6">
        <v>43287</v>
      </c>
      <c r="G4" s="6">
        <v>3017</v>
      </c>
      <c r="H4" s="6">
        <v>41393</v>
      </c>
      <c r="I4" s="6">
        <v>2410</v>
      </c>
      <c r="J4" s="6">
        <v>1894</v>
      </c>
      <c r="K4" s="6">
        <v>607</v>
      </c>
      <c r="L4" s="7">
        <v>0.98300981183366609</v>
      </c>
      <c r="M4" s="10"/>
      <c r="N4" s="14">
        <v>21223</v>
      </c>
      <c r="O4" s="14">
        <v>433</v>
      </c>
      <c r="P4" s="14">
        <v>14829</v>
      </c>
      <c r="Q4" s="14">
        <v>9020</v>
      </c>
      <c r="R4" s="14">
        <v>906</v>
      </c>
      <c r="S4" s="14">
        <v>371</v>
      </c>
      <c r="T4" s="14">
        <v>304</v>
      </c>
      <c r="U4" s="14">
        <f t="shared" si="0"/>
        <v>47086</v>
      </c>
      <c r="V4" s="10"/>
      <c r="W4" s="14">
        <v>18207</v>
      </c>
      <c r="X4" s="14">
        <v>7372</v>
      </c>
      <c r="Y4" s="14">
        <v>5752</v>
      </c>
      <c r="Z4" s="14">
        <v>3825</v>
      </c>
      <c r="AA4" s="14">
        <v>703</v>
      </c>
    </row>
    <row r="5" spans="1:27">
      <c r="A5" s="9">
        <v>45931</v>
      </c>
      <c r="B5" s="6">
        <v>9861</v>
      </c>
      <c r="C5" s="6">
        <v>4.5</v>
      </c>
      <c r="D5" s="6">
        <v>0.31</v>
      </c>
      <c r="E5" s="6">
        <v>7.9</v>
      </c>
      <c r="F5" s="6">
        <v>44412</v>
      </c>
      <c r="G5" s="6">
        <v>3022</v>
      </c>
      <c r="H5" s="6">
        <v>42660</v>
      </c>
      <c r="I5" s="6">
        <v>2431</v>
      </c>
      <c r="J5" s="6">
        <v>1752</v>
      </c>
      <c r="K5" s="6">
        <v>592</v>
      </c>
      <c r="L5" s="7">
        <v>0.99219348559832687</v>
      </c>
      <c r="M5" s="10"/>
      <c r="N5" s="14">
        <v>22139</v>
      </c>
      <c r="O5" s="14">
        <v>462</v>
      </c>
      <c r="P5" s="14">
        <v>14906</v>
      </c>
      <c r="Q5" s="14">
        <v>9120</v>
      </c>
      <c r="R5" s="14">
        <v>1004</v>
      </c>
      <c r="S5" s="14">
        <v>391</v>
      </c>
      <c r="T5" s="14">
        <v>271</v>
      </c>
      <c r="U5" s="14">
        <f t="shared" si="0"/>
        <v>48293</v>
      </c>
      <c r="V5" s="10"/>
      <c r="W5" s="14">
        <v>19055</v>
      </c>
      <c r="X5" s="14">
        <v>7291</v>
      </c>
      <c r="Y5" s="14">
        <v>5688</v>
      </c>
      <c r="Z5" s="14">
        <v>3007</v>
      </c>
      <c r="AA5" s="14">
        <v>685</v>
      </c>
    </row>
    <row r="6" spans="1:27">
      <c r="A6" s="9">
        <v>45962</v>
      </c>
      <c r="B6" s="6">
        <v>9755</v>
      </c>
      <c r="C6" s="6">
        <v>4.7</v>
      </c>
      <c r="D6" s="6">
        <v>0.35</v>
      </c>
      <c r="E6" s="6">
        <v>7.6</v>
      </c>
      <c r="F6" s="6">
        <v>44417</v>
      </c>
      <c r="G6" s="6">
        <v>3153</v>
      </c>
      <c r="H6" s="6">
        <v>42715</v>
      </c>
      <c r="I6" s="6">
        <v>2617</v>
      </c>
      <c r="J6" s="6">
        <v>1702</v>
      </c>
      <c r="K6" s="6">
        <v>536</v>
      </c>
      <c r="L6" s="7">
        <v>0.9942355201756794</v>
      </c>
      <c r="M6" s="10"/>
      <c r="N6" s="14">
        <v>22216</v>
      </c>
      <c r="O6" s="14">
        <v>412</v>
      </c>
      <c r="P6" s="14">
        <v>14526</v>
      </c>
      <c r="Q6" s="14">
        <v>8541</v>
      </c>
      <c r="R6" s="14">
        <v>920</v>
      </c>
      <c r="S6" s="14">
        <v>444</v>
      </c>
      <c r="T6" s="14">
        <v>300</v>
      </c>
      <c r="U6" s="14">
        <f t="shared" si="0"/>
        <v>47359</v>
      </c>
      <c r="V6" s="10"/>
      <c r="W6" s="14">
        <v>18803</v>
      </c>
      <c r="X6" s="14">
        <v>7052</v>
      </c>
      <c r="Y6" s="14">
        <v>4611</v>
      </c>
      <c r="Z6" s="14">
        <v>3179</v>
      </c>
      <c r="AA6" s="14">
        <v>613</v>
      </c>
    </row>
    <row r="7" spans="1:27">
      <c r="A7" s="9">
        <v>45992</v>
      </c>
      <c r="B7" s="6">
        <v>10452</v>
      </c>
      <c r="C7" s="6">
        <v>4.5999999999999996</v>
      </c>
      <c r="D7" s="6">
        <v>0.34</v>
      </c>
      <c r="E7" s="6">
        <v>7.6</v>
      </c>
      <c r="F7" s="6">
        <v>44897</v>
      </c>
      <c r="G7" s="6">
        <v>3155</v>
      </c>
      <c r="H7" s="6">
        <v>42928</v>
      </c>
      <c r="I7" s="6">
        <v>2520</v>
      </c>
      <c r="J7" s="6">
        <v>1969</v>
      </c>
      <c r="K7" s="6">
        <v>635</v>
      </c>
      <c r="L7" s="7">
        <v>0.994276636047009</v>
      </c>
      <c r="M7" s="10"/>
      <c r="N7" s="14">
        <v>22127</v>
      </c>
      <c r="O7" s="14">
        <v>449</v>
      </c>
      <c r="P7" s="14">
        <v>15626</v>
      </c>
      <c r="Q7" s="14">
        <v>9278</v>
      </c>
      <c r="R7" s="14">
        <v>968</v>
      </c>
      <c r="S7" s="14">
        <v>417</v>
      </c>
      <c r="T7" s="14">
        <v>232</v>
      </c>
      <c r="U7" s="14">
        <f t="shared" si="0"/>
        <v>49097</v>
      </c>
      <c r="V7" s="10"/>
      <c r="W7" s="14">
        <v>18364</v>
      </c>
      <c r="X7" s="14">
        <v>7775</v>
      </c>
      <c r="Y7" s="14">
        <v>5953</v>
      </c>
      <c r="Z7" s="14">
        <v>3672</v>
      </c>
      <c r="AA7" s="14">
        <v>705</v>
      </c>
    </row>
    <row r="8" spans="1:27">
      <c r="A8" s="9">
        <v>46023</v>
      </c>
      <c r="B8" s="6">
        <v>10267</v>
      </c>
      <c r="C8" s="6">
        <v>4.8</v>
      </c>
      <c r="D8" s="6">
        <v>0.42</v>
      </c>
      <c r="E8" s="6">
        <v>9.9</v>
      </c>
      <c r="F8" s="6">
        <v>46461</v>
      </c>
      <c r="G8" s="6">
        <v>4199</v>
      </c>
      <c r="H8" s="6">
        <v>44446</v>
      </c>
      <c r="I8" s="6">
        <v>3565</v>
      </c>
      <c r="J8" s="6">
        <v>2015</v>
      </c>
      <c r="K8" s="6">
        <v>634</v>
      </c>
      <c r="L8" s="7">
        <v>0.99545055471306565</v>
      </c>
      <c r="M8" s="10"/>
      <c r="N8" s="14">
        <f>23707+9844</f>
        <v>33551</v>
      </c>
      <c r="O8" s="14">
        <v>466</v>
      </c>
      <c r="P8" s="14">
        <v>15044</v>
      </c>
      <c r="Q8" s="14">
        <v>9212</v>
      </c>
      <c r="R8" s="14">
        <v>1087</v>
      </c>
      <c r="S8" s="14">
        <v>402</v>
      </c>
      <c r="T8" s="14">
        <v>198</v>
      </c>
      <c r="U8" s="14">
        <f t="shared" si="0"/>
        <v>59960</v>
      </c>
      <c r="V8" s="10"/>
      <c r="W8" s="14">
        <v>18649</v>
      </c>
      <c r="X8" s="14">
        <v>7413</v>
      </c>
      <c r="Y8" s="14">
        <v>5738</v>
      </c>
      <c r="Z8" s="14">
        <v>3111</v>
      </c>
      <c r="AA8" s="14">
        <v>685</v>
      </c>
    </row>
    <row r="9" spans="1:27">
      <c r="A9" s="9">
        <v>46054</v>
      </c>
      <c r="B9" s="6">
        <v>8340</v>
      </c>
      <c r="C9" s="6">
        <v>4.5999999999999996</v>
      </c>
      <c r="D9" s="6">
        <v>0.37</v>
      </c>
      <c r="E9" s="6">
        <v>6.4</v>
      </c>
      <c r="F9" s="6">
        <v>35123</v>
      </c>
      <c r="G9" s="6">
        <v>2657</v>
      </c>
      <c r="H9" s="6">
        <v>33415</v>
      </c>
      <c r="I9" s="6">
        <v>2091</v>
      </c>
      <c r="J9" s="6">
        <v>1708</v>
      </c>
      <c r="K9" s="6">
        <v>566</v>
      </c>
      <c r="L9" s="7">
        <v>0.9922476692338873</v>
      </c>
      <c r="M9" s="10"/>
      <c r="N9" s="14">
        <f>16936+7764</f>
        <v>24700</v>
      </c>
      <c r="O9" s="14">
        <v>374</v>
      </c>
      <c r="P9" s="14">
        <v>13203</v>
      </c>
      <c r="Q9" s="14">
        <v>7612</v>
      </c>
      <c r="R9" s="14">
        <v>762</v>
      </c>
      <c r="S9" s="14">
        <v>367</v>
      </c>
      <c r="T9" s="14">
        <v>218</v>
      </c>
      <c r="U9" s="14">
        <f t="shared" si="0"/>
        <v>47236</v>
      </c>
      <c r="V9" s="10"/>
      <c r="W9" s="14">
        <v>14499</v>
      </c>
      <c r="X9" s="14">
        <v>6560</v>
      </c>
      <c r="Y9" s="14">
        <v>4517</v>
      </c>
      <c r="Z9" s="14">
        <v>2830</v>
      </c>
      <c r="AA9" s="14">
        <v>567</v>
      </c>
    </row>
    <row r="10" spans="1:27">
      <c r="A10" s="9">
        <v>46082</v>
      </c>
      <c r="B10" s="6">
        <v>10999</v>
      </c>
      <c r="C10" s="6">
        <v>4.2</v>
      </c>
      <c r="D10" s="6">
        <v>0.35</v>
      </c>
      <c r="E10" s="6">
        <v>8.1999999999999993</v>
      </c>
      <c r="F10" s="6">
        <v>43875</v>
      </c>
      <c r="G10" s="6">
        <v>3429</v>
      </c>
      <c r="H10" s="6">
        <v>42004</v>
      </c>
      <c r="I10" s="6">
        <v>2840</v>
      </c>
      <c r="J10" s="6">
        <v>1871</v>
      </c>
      <c r="K10" s="6">
        <v>590</v>
      </c>
      <c r="L10" s="7">
        <v>0.99484493223580273</v>
      </c>
      <c r="M10" s="10"/>
      <c r="N10" s="14">
        <f>21620+9596</f>
        <v>31216</v>
      </c>
      <c r="O10" s="14">
        <v>439</v>
      </c>
      <c r="P10" s="14">
        <v>15525</v>
      </c>
      <c r="Q10" s="14">
        <v>8866</v>
      </c>
      <c r="R10" s="14">
        <v>952</v>
      </c>
      <c r="S10" s="14">
        <v>442</v>
      </c>
      <c r="T10" s="14">
        <v>264</v>
      </c>
      <c r="U10" s="14">
        <f t="shared" si="0"/>
        <v>57704</v>
      </c>
      <c r="V10" s="10"/>
      <c r="W10" s="14">
        <v>18585</v>
      </c>
      <c r="X10" s="14">
        <v>7600</v>
      </c>
      <c r="Y10" s="14">
        <v>5814</v>
      </c>
      <c r="Z10" s="14">
        <v>4406</v>
      </c>
      <c r="AA10" s="14">
        <v>726</v>
      </c>
    </row>
    <row r="11" spans="1:27">
      <c r="A11" s="9">
        <v>46113</v>
      </c>
      <c r="B11" s="6">
        <v>8735</v>
      </c>
      <c r="C11" s="6">
        <v>5.0999999999999996</v>
      </c>
      <c r="D11" s="6">
        <v>0.37</v>
      </c>
      <c r="E11" s="6">
        <v>6.9</v>
      </c>
      <c r="F11" s="6">
        <v>40967</v>
      </c>
      <c r="G11" s="6">
        <v>2878</v>
      </c>
      <c r="H11" s="6">
        <v>39398</v>
      </c>
      <c r="I11" s="6">
        <v>2369</v>
      </c>
      <c r="J11" s="6">
        <v>1569</v>
      </c>
      <c r="K11" s="6">
        <v>509</v>
      </c>
      <c r="L11" s="7">
        <v>0.99242424242424243</v>
      </c>
      <c r="M11" s="10"/>
      <c r="N11" s="14">
        <f>21187+8201</f>
        <v>29388</v>
      </c>
      <c r="O11" s="14">
        <v>505</v>
      </c>
      <c r="P11" s="14">
        <v>14049</v>
      </c>
      <c r="Q11" s="14">
        <v>8342</v>
      </c>
      <c r="R11" s="14">
        <v>824</v>
      </c>
      <c r="S11" s="14">
        <v>369</v>
      </c>
      <c r="T11" s="14">
        <v>264</v>
      </c>
      <c r="U11" s="14">
        <f t="shared" si="0"/>
        <v>53741</v>
      </c>
      <c r="V11" s="10"/>
      <c r="W11" s="14">
        <v>17857</v>
      </c>
      <c r="X11" s="14">
        <v>7062</v>
      </c>
      <c r="Y11" s="14">
        <v>4929</v>
      </c>
      <c r="Z11" s="14">
        <v>2981</v>
      </c>
      <c r="AA11" s="14">
        <v>615</v>
      </c>
    </row>
    <row r="12" spans="1:27">
      <c r="A12" s="9">
        <v>46143</v>
      </c>
      <c r="B12" s="6">
        <v>9702</v>
      </c>
      <c r="C12" s="6">
        <v>4.3</v>
      </c>
      <c r="D12" s="6">
        <v>0.33</v>
      </c>
      <c r="E12" s="6">
        <v>7.1</v>
      </c>
      <c r="F12" s="6">
        <v>39634</v>
      </c>
      <c r="G12" s="6">
        <v>2974</v>
      </c>
      <c r="H12" s="6">
        <v>38156</v>
      </c>
      <c r="I12" s="6">
        <v>2446</v>
      </c>
      <c r="J12" s="6">
        <v>1478</v>
      </c>
      <c r="K12" s="6">
        <v>529</v>
      </c>
      <c r="L12" s="7">
        <v>0.99315626169046933</v>
      </c>
      <c r="M12" s="10"/>
      <c r="N12" s="14">
        <f>20972+8220</f>
        <v>29192</v>
      </c>
      <c r="O12" s="14">
        <v>476</v>
      </c>
      <c r="P12" s="14">
        <v>14296</v>
      </c>
      <c r="Q12" s="14">
        <v>8077</v>
      </c>
      <c r="R12" s="14">
        <v>837</v>
      </c>
      <c r="S12" s="14">
        <v>488</v>
      </c>
      <c r="T12" s="14">
        <v>297</v>
      </c>
      <c r="U12" s="14">
        <f t="shared" si="0"/>
        <v>53663</v>
      </c>
      <c r="V12" s="10"/>
      <c r="W12" s="14">
        <v>17778</v>
      </c>
      <c r="X12" s="14">
        <v>7067</v>
      </c>
      <c r="Y12" s="14">
        <v>4677</v>
      </c>
      <c r="Z12" s="14">
        <v>3234</v>
      </c>
      <c r="AA12" s="14">
        <v>612</v>
      </c>
    </row>
    <row r="13" spans="1:27">
      <c r="A13" s="9">
        <v>46174</v>
      </c>
      <c r="B13" s="6">
        <v>10061</v>
      </c>
      <c r="C13" s="6">
        <v>4.9000000000000004</v>
      </c>
      <c r="D13" s="6">
        <v>0.37</v>
      </c>
      <c r="E13" s="6">
        <v>8.1</v>
      </c>
      <c r="F13" s="6">
        <v>46077</v>
      </c>
      <c r="G13" s="6">
        <v>3413</v>
      </c>
      <c r="H13" s="6">
        <v>44437</v>
      </c>
      <c r="I13" s="6">
        <v>2840</v>
      </c>
      <c r="J13" s="6">
        <v>1640</v>
      </c>
      <c r="K13" s="6">
        <v>573</v>
      </c>
      <c r="L13" s="7">
        <v>0.99088904605400008</v>
      </c>
      <c r="M13" s="10"/>
      <c r="N13" s="14">
        <f>21874+9405</f>
        <v>31279</v>
      </c>
      <c r="O13" s="14">
        <v>527</v>
      </c>
      <c r="P13" s="14">
        <v>14721</v>
      </c>
      <c r="Q13" s="14">
        <v>9395</v>
      </c>
      <c r="R13" s="14">
        <v>920</v>
      </c>
      <c r="S13" s="14">
        <v>433</v>
      </c>
      <c r="T13" s="14">
        <v>204</v>
      </c>
      <c r="U13" s="14">
        <f t="shared" si="0"/>
        <v>57479</v>
      </c>
      <c r="V13" s="10"/>
      <c r="W13" s="14">
        <v>18817</v>
      </c>
      <c r="X13" s="14">
        <v>7773</v>
      </c>
      <c r="Y13" s="14">
        <v>5619</v>
      </c>
      <c r="Z13" s="14">
        <v>4057</v>
      </c>
      <c r="AA13" s="14">
        <v>697</v>
      </c>
    </row>
    <row r="14" spans="1:27">
      <c r="A14" s="9">
        <v>46204</v>
      </c>
      <c r="B14" s="6">
        <v>10978</v>
      </c>
      <c r="C14" s="6">
        <v>4.2</v>
      </c>
      <c r="D14" s="6">
        <v>0.33</v>
      </c>
      <c r="E14" s="6">
        <v>8.1999999999999993</v>
      </c>
      <c r="F14" s="6">
        <v>45487</v>
      </c>
      <c r="G14" s="6">
        <v>3438</v>
      </c>
      <c r="H14" s="6">
        <v>43792</v>
      </c>
      <c r="I14" s="6">
        <v>2849</v>
      </c>
      <c r="J14" s="6">
        <v>1695</v>
      </c>
      <c r="K14" s="6">
        <v>589</v>
      </c>
      <c r="L14" s="7">
        <v>0.99068931391755699</v>
      </c>
      <c r="M14" s="10"/>
      <c r="N14" s="14">
        <v>32618</v>
      </c>
      <c r="O14" s="14">
        <v>532</v>
      </c>
      <c r="P14" s="14">
        <v>15216</v>
      </c>
      <c r="Q14" s="14">
        <v>15873</v>
      </c>
      <c r="R14" s="14">
        <v>888</v>
      </c>
      <c r="S14" s="14">
        <v>397</v>
      </c>
      <c r="T14" s="14">
        <v>237</v>
      </c>
      <c r="U14" s="14">
        <f t="shared" si="0"/>
        <v>65761</v>
      </c>
      <c r="V14" s="10"/>
      <c r="W14" s="14">
        <v>19522</v>
      </c>
      <c r="X14" s="14">
        <v>7836</v>
      </c>
      <c r="Y14" s="14">
        <v>5846</v>
      </c>
      <c r="Z14" s="14">
        <v>3209</v>
      </c>
      <c r="AA14" s="14">
        <v>705</v>
      </c>
    </row>
    <row r="15" spans="1:27">
      <c r="A15" s="9">
        <v>46235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7"/>
      <c r="M15" s="10"/>
      <c r="N15" s="14"/>
      <c r="O15" s="14"/>
      <c r="P15" s="14"/>
      <c r="Q15" s="14"/>
      <c r="R15" s="14"/>
      <c r="S15" s="14"/>
      <c r="T15" s="14"/>
      <c r="U15" s="14"/>
      <c r="V15" s="10"/>
      <c r="W15" s="17"/>
      <c r="X15" s="17"/>
      <c r="Y15" s="17"/>
      <c r="Z15" s="17"/>
      <c r="AA15" s="17"/>
    </row>
    <row r="16" spans="1:27">
      <c r="A16" s="9">
        <v>46266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7"/>
      <c r="M16" s="10"/>
      <c r="N16" s="14"/>
      <c r="O16" s="14"/>
      <c r="P16" s="14"/>
      <c r="Q16" s="14"/>
      <c r="R16" s="14"/>
      <c r="S16" s="14"/>
      <c r="T16" s="14"/>
      <c r="U16" s="14"/>
      <c r="V16" s="10"/>
      <c r="W16" s="17"/>
      <c r="X16" s="17"/>
      <c r="Y16" s="17"/>
      <c r="Z16" s="17"/>
      <c r="AA16" s="17"/>
    </row>
    <row r="17" spans="1:27">
      <c r="A17" s="9">
        <v>46296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7"/>
      <c r="M17" s="10"/>
      <c r="N17" s="14"/>
      <c r="O17" s="14"/>
      <c r="P17" s="14"/>
      <c r="Q17" s="14"/>
      <c r="R17" s="14"/>
      <c r="S17" s="14"/>
      <c r="T17" s="14"/>
      <c r="U17" s="14"/>
      <c r="V17" s="10"/>
      <c r="W17" s="17"/>
      <c r="X17" s="17"/>
      <c r="Y17" s="17"/>
      <c r="Z17" s="17"/>
      <c r="AA17" s="17"/>
    </row>
    <row r="18" spans="1:27">
      <c r="A18" s="9">
        <v>46327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7"/>
      <c r="M18" s="10"/>
      <c r="N18" s="15"/>
      <c r="O18" s="15"/>
      <c r="P18" s="15"/>
      <c r="Q18" s="15"/>
      <c r="R18" s="15"/>
      <c r="S18" s="15"/>
      <c r="T18" s="15"/>
      <c r="U18" s="14"/>
      <c r="V18" s="10"/>
      <c r="W18" s="17"/>
      <c r="X18" s="17"/>
      <c r="Y18" s="17"/>
      <c r="Z18" s="17"/>
      <c r="AA18" s="17"/>
    </row>
    <row r="19" spans="1:27">
      <c r="A19" s="9">
        <v>46357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7"/>
      <c r="M19" s="10"/>
      <c r="N19" s="15"/>
      <c r="O19" s="15"/>
      <c r="P19" s="15"/>
      <c r="Q19" s="15"/>
      <c r="R19" s="15"/>
      <c r="S19" s="15"/>
      <c r="T19" s="15"/>
      <c r="U19" s="14"/>
      <c r="V19" s="10"/>
      <c r="W19" s="17"/>
      <c r="X19" s="17"/>
      <c r="Y19" s="17"/>
      <c r="Z19" s="17"/>
      <c r="AA19" s="17"/>
    </row>
    <row r="23" spans="1:27">
      <c r="H23" s="16"/>
    </row>
  </sheetData>
  <phoneticPr fontId="7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354a30-f421-4d42-bd98-0d86e396d207}" enabled="0" method="" siteId="{0c354a30-f421-4d42-bd98-0d86e396d20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 Tsang</dc:creator>
  <cp:lastModifiedBy>Kim TSANG</cp:lastModifiedBy>
  <dcterms:created xsi:type="dcterms:W3CDTF">2026-07-31T15:03:38Z</dcterms:created>
  <dcterms:modified xsi:type="dcterms:W3CDTF">2026-08-13T03:08:13Z</dcterms:modified>
</cp:coreProperties>
</file>